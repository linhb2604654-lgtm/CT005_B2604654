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1E3F2D5-F050-40F1-8358-15301F7CCF5F}" xr6:coauthVersionLast="47" xr6:coauthVersionMax="47" xr10:uidLastSave="{00000000-0000-0000-0000-000000000000}"/>
  <bookViews>
    <workbookView xWindow="-108" yWindow="-108" windowWidth="23256" windowHeight="12456" activeTab="5" xr2:uid="{2170D83B-76D8-44D0-879F-5886D7EF9C5F}"/>
  </bookViews>
  <sheets>
    <sheet name="DanhSachSinhVien" sheetId="1" r:id="rId1"/>
    <sheet name="KetQuaHocTap" sheetId="2" r:id="rId2"/>
    <sheet name="DanhMucMonHoc" sheetId="3" r:id="rId3"/>
    <sheet name="KQ_2a" sheetId="4" r:id="rId4"/>
    <sheet name="KQ_2b" sheetId="5" r:id="rId5"/>
    <sheet name="KQ_2c-d" sheetId="6" r:id="rId6"/>
  </sheets>
  <definedNames>
    <definedName name="_xlnm._FilterDatabase" localSheetId="0" hidden="1">DanhSachSinhVien!$A$1:$F$15</definedName>
    <definedName name="_xlnm._FilterDatabase" localSheetId="1" hidden="1">KetQuaHocTap!$A$1:$D$15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2" i="2"/>
</calcChain>
</file>

<file path=xl/sharedStrings.xml><?xml version="1.0" encoding="utf-8"?>
<sst xmlns="http://schemas.openxmlformats.org/spreadsheetml/2006/main" count="157" uniqueCount="75">
  <si>
    <t>MSSV</t>
  </si>
  <si>
    <t xml:space="preserve">Họ </t>
  </si>
  <si>
    <t xml:space="preserve">Tên </t>
  </si>
  <si>
    <t>Lớp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</si>
  <si>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</si>
  <si>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</si>
  <si>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</si>
  <si>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</si>
  <si>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</si>
  <si>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</si>
  <si>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</si>
  <si>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</si>
  <si>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</si>
  <si>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</si>
  <si>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B104494</t>
  </si>
  <si>
    <t xml:space="preserve">Lê Huỳnh </t>
  </si>
  <si>
    <t>Sơn</t>
  </si>
  <si>
    <t xml:space="preserve">Võ Đông </t>
  </si>
  <si>
    <t>Lê Phong</t>
  </si>
  <si>
    <t xml:space="preserve">Trần Tấn </t>
  </si>
  <si>
    <t>Nguyễn Thanh</t>
  </si>
  <si>
    <t xml:space="preserve">Hồ Thị Huế </t>
  </si>
  <si>
    <t xml:space="preserve">Nguyễn Hoài </t>
  </si>
  <si>
    <t xml:space="preserve">Cao Tuấn </t>
  </si>
  <si>
    <t xml:space="preserve">Kim </t>
  </si>
  <si>
    <t>Như</t>
  </si>
  <si>
    <t xml:space="preserve">Sony </t>
  </si>
  <si>
    <t xml:space="preserve">Triều </t>
  </si>
  <si>
    <t xml:space="preserve">Cảnh </t>
  </si>
  <si>
    <t xml:space="preserve">Quốc </t>
  </si>
  <si>
    <t>Phong</t>
  </si>
  <si>
    <t xml:space="preserve">Thiện </t>
  </si>
  <si>
    <t>Chi</t>
  </si>
  <si>
    <t xml:space="preserve">Nguyễn Thanh </t>
  </si>
  <si>
    <t>Nam</t>
  </si>
  <si>
    <t>Nguyên</t>
  </si>
  <si>
    <t xml:space="preserve">Huỳnh Nhựt </t>
  </si>
  <si>
    <t>Thương</t>
  </si>
  <si>
    <t>Nguyễn Phước</t>
  </si>
  <si>
    <t>Toàn</t>
  </si>
  <si>
    <t xml:space="preserve">Hồng Duy </t>
  </si>
  <si>
    <t>Hiệu</t>
  </si>
  <si>
    <t>Mel</t>
  </si>
  <si>
    <t>A1200014</t>
  </si>
  <si>
    <t>DI11Y9A2</t>
  </si>
  <si>
    <t>DI11Y9A1</t>
  </si>
  <si>
    <t>CP1296C1</t>
  </si>
  <si>
    <t>DI1296A2</t>
  </si>
  <si>
    <t>DI1295A1</t>
  </si>
  <si>
    <t>DI12Z6A2</t>
  </si>
  <si>
    <t>TC12Z5A1</t>
  </si>
  <si>
    <t>TC12Z5A2</t>
  </si>
  <si>
    <t>XH13W9A1</t>
  </si>
  <si>
    <t>DI13Z6A1</t>
  </si>
  <si>
    <t xml:space="preserve">MSSV </t>
  </si>
  <si>
    <t>Diem</t>
  </si>
  <si>
    <t>MaMH</t>
  </si>
  <si>
    <t>CT447</t>
  </si>
  <si>
    <t>CT107</t>
  </si>
  <si>
    <t>CT178</t>
  </si>
  <si>
    <t>A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</si>
  <si>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</si>
  <si>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</si>
  <si>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</si>
  <si>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</si>
  <si>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</si>
  <si>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</si>
  <si>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</si>
  <si>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</si>
  <si>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 xml:space="preserve">Họ Tên </t>
  </si>
  <si>
    <t xml:space="preserve">Võ Đông 
Triều </t>
  </si>
  <si>
    <t>Nguyễn Hoài 
Nam</t>
  </si>
  <si>
    <t>Nguyễn Phước Toàn</t>
  </si>
  <si>
    <t>Nguyễn Thanh Phong</t>
  </si>
  <si>
    <t>Võ Đông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</si>
</sst>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i'mes New Roman"/>
    </font>
    <font>
      <sz val="13"/>
      <color theme="1"/>
      <name val="Times New Roman"/>
      <family val="1"/>
    </font>
    <font>
      <b/>
      <sz val="16"/>
      <color theme="1"/>
      <name val="Ti'mes New Roman"/>
    </font>
    <font>
      <sz val="16"/>
      <color theme="1"/>
      <name val="Times New Roman"/>
      <family val="1"/>
    </font>
    <font>
      <sz val="13"/>
      <color theme="1"/>
      <name val="Ti'mes New Roman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92C0-35BF-4E49-9C4C-5ACD427C1EBA}">
  <dimension ref="A1:H17"/>
  <sheetViews>
    <sheetView workbookViewId="0">
      <selection activeCell="H15" sqref="H15"/>
    </sheetView>
  </sheetViews>
  <sheetFormatPr defaultRowHeight="14.4"/>
  <cols>
    <col min="1" max="1" width="18" customWidth="1"/>
    <col min="2" max="2" width="16" customWidth="1"/>
    <col min="3" max="3" width="15.5546875" customWidth="1"/>
    <col min="4" max="4" width="18.6640625" customWidth="1"/>
    <col min="5" max="5" width="18.109375" customWidth="1"/>
    <col min="6" max="6" width="11.77734375" customWidth="1"/>
  </cols>
  <sheetData>
    <row r="1" spans="1:6" ht="21">
      <c r="A1" s="7" t="s">
        <v>0</v>
      </c>
      <c r="B1" s="7" t="s">
        <v>1</v>
      </c>
      <c r="C1" s="7" t="s">
        <v>2</v>
      </c>
      <c r="D1" s="7" t="s">
        <v>3</v>
      </c>
      <c r="E1" s="13" t="s">
        <v>56</v>
      </c>
      <c r="F1" s="13" t="s">
        <v>55</v>
      </c>
    </row>
    <row r="2" spans="1:6" ht="16.8">
      <c r="A2" s="3">
        <v>1111434</v>
      </c>
      <c r="B2" s="4" t="s">
        <v>15</v>
      </c>
      <c r="C2" s="3" t="s">
        <v>25</v>
      </c>
      <c r="D2" s="3" t="s">
        <v>44</v>
      </c>
      <c r="E2" s="3" t="str">
        <f>VLOOKUP(A2,KetQuaHocTap!$A$1:$D$15,2,0)</f>
        <v>CT447</v>
      </c>
      <c r="F2" s="3" t="str">
        <f>VLOOKUP(A2,KetQuaHocTap!$A$1:$D$15,3,0)</f>
        <v>A</v>
      </c>
    </row>
    <row r="3" spans="1:6" ht="16.8">
      <c r="A3" s="3">
        <v>1111450</v>
      </c>
      <c r="B3" s="4" t="s">
        <v>16</v>
      </c>
      <c r="C3" s="3" t="s">
        <v>26</v>
      </c>
      <c r="D3" s="3" t="s">
        <v>45</v>
      </c>
      <c r="E3" s="3" t="str">
        <f>VLOOKUP(A3,KetQuaHocTap!$A$1:$D$15,2,0)</f>
        <v>CT107</v>
      </c>
      <c r="F3" s="3" t="str">
        <f>VLOOKUP(A3,KetQuaHocTap!$A$1:$D$15,3,0)</f>
        <v>A</v>
      </c>
    </row>
    <row r="4" spans="1:6" ht="16.8">
      <c r="A4" s="3" t="s">
        <v>43</v>
      </c>
      <c r="B4" s="4" t="s">
        <v>74</v>
      </c>
      <c r="C4" s="3" t="s">
        <v>27</v>
      </c>
      <c r="D4" s="3" t="s">
        <v>46</v>
      </c>
      <c r="E4" s="3" t="str">
        <f>VLOOKUP(A4,KetQuaHocTap!$A$1:$D$15,2,0)</f>
        <v>CT178</v>
      </c>
      <c r="F4" s="3" t="str">
        <f>VLOOKUP(A4,KetQuaHocTap!$A$1:$D$15,3,0)</f>
        <v>C</v>
      </c>
    </row>
    <row r="5" spans="1:6" ht="16.8">
      <c r="A5" s="3" t="s">
        <v>4</v>
      </c>
      <c r="B5" s="4" t="s">
        <v>18</v>
      </c>
      <c r="C5" s="3" t="s">
        <v>28</v>
      </c>
      <c r="D5" s="3" t="s">
        <v>46</v>
      </c>
      <c r="E5" s="3" t="str">
        <f>VLOOKUP(A5,KetQuaHocTap!$A$1:$D$15,2,0)</f>
        <v>CT447</v>
      </c>
      <c r="F5" s="3" t="str">
        <f>VLOOKUP(A5,KetQuaHocTap!$A$1:$D$15,3,0)</f>
        <v>D</v>
      </c>
    </row>
    <row r="6" spans="1:6" ht="16.8">
      <c r="A6" s="3" t="s">
        <v>5</v>
      </c>
      <c r="B6" s="4" t="s">
        <v>19</v>
      </c>
      <c r="C6" s="3" t="s">
        <v>29</v>
      </c>
      <c r="D6" s="3" t="s">
        <v>46</v>
      </c>
      <c r="E6" s="3" t="str">
        <f>VLOOKUP(A6,KetQuaHocTap!$A$1:$D$15,2,0)</f>
        <v>CT107</v>
      </c>
      <c r="F6" s="3" t="str">
        <f>VLOOKUP(A6,KetQuaHocTap!$A$1:$D$15,3,0)</f>
        <v>B</v>
      </c>
    </row>
    <row r="7" spans="1:6" ht="16.8">
      <c r="A7" s="3" t="s">
        <v>6</v>
      </c>
      <c r="B7" s="4" t="s">
        <v>20</v>
      </c>
      <c r="C7" s="3" t="s">
        <v>30</v>
      </c>
      <c r="D7" s="3" t="s">
        <v>47</v>
      </c>
      <c r="E7" s="3" t="str">
        <f>VLOOKUP(A7,KetQuaHocTap!$A$1:$D$15,2,0)</f>
        <v>CT178</v>
      </c>
      <c r="F7" s="3" t="str">
        <f>VLOOKUP(A7,KetQuaHocTap!$A$1:$D$15,3,0)</f>
        <v>A</v>
      </c>
    </row>
    <row r="8" spans="1:6" ht="16.8">
      <c r="A8" s="3" t="s">
        <v>7</v>
      </c>
      <c r="B8" s="4" t="s">
        <v>33</v>
      </c>
      <c r="C8" s="3" t="s">
        <v>31</v>
      </c>
      <c r="D8" s="3" t="s">
        <v>48</v>
      </c>
      <c r="E8" s="3" t="str">
        <f>VLOOKUP(A8,KetQuaHocTap!$A$1:$D$15,2,0)</f>
        <v>CT447</v>
      </c>
      <c r="F8" s="3" t="str">
        <f>VLOOKUP(A8,KetQuaHocTap!$A$1:$D$15,3,0)</f>
        <v>A</v>
      </c>
    </row>
    <row r="9" spans="1:6" ht="16.8">
      <c r="A9" s="3" t="s">
        <v>8</v>
      </c>
      <c r="B9" s="4" t="s">
        <v>21</v>
      </c>
      <c r="C9" s="3" t="s">
        <v>32</v>
      </c>
      <c r="D9" s="3" t="s">
        <v>49</v>
      </c>
      <c r="E9" s="3" t="str">
        <f>VLOOKUP(A9,KetQuaHocTap!$A$1:$D$15,2,0)</f>
        <v>CT107</v>
      </c>
      <c r="F9" s="3" t="str">
        <f>VLOOKUP(A9,KetQuaHocTap!$A$1:$D$15,3,0)</f>
        <v>C</v>
      </c>
    </row>
    <row r="10" spans="1:6" ht="16.8">
      <c r="A10" s="3" t="s">
        <v>9</v>
      </c>
      <c r="B10" s="4" t="s">
        <v>22</v>
      </c>
      <c r="C10" s="3" t="s">
        <v>34</v>
      </c>
      <c r="D10" s="3" t="s">
        <v>50</v>
      </c>
      <c r="E10" s="3" t="str">
        <f>VLOOKUP(A10,KetQuaHocTap!$A$1:$D$15,2,0)</f>
        <v>CT178</v>
      </c>
      <c r="F10" s="3" t="str">
        <f>VLOOKUP(A10,KetQuaHocTap!$A$1:$D$15,3,0)</f>
        <v>D</v>
      </c>
    </row>
    <row r="11" spans="1:6" ht="16.8">
      <c r="A11" s="3" t="s">
        <v>10</v>
      </c>
      <c r="B11" s="4" t="s">
        <v>23</v>
      </c>
      <c r="C11" s="3" t="s">
        <v>35</v>
      </c>
      <c r="D11" s="3" t="s">
        <v>50</v>
      </c>
      <c r="E11" s="3" t="str">
        <f>VLOOKUP(A11,KetQuaHocTap!$A$1:$D$15,2,0)</f>
        <v>CT447</v>
      </c>
      <c r="F11" s="3" t="str">
        <f>VLOOKUP(A11,KetQuaHocTap!$A$1:$D$15,3,0)</f>
        <v>B</v>
      </c>
    </row>
    <row r="12" spans="1:6" ht="16.8">
      <c r="A12" s="3" t="s">
        <v>11</v>
      </c>
      <c r="B12" s="4" t="s">
        <v>36</v>
      </c>
      <c r="C12" s="3" t="s">
        <v>37</v>
      </c>
      <c r="D12" s="3" t="s">
        <v>51</v>
      </c>
      <c r="E12" s="3" t="str">
        <f>VLOOKUP(A12,KetQuaHocTap!$A$1:$D$15,2,0)</f>
        <v>CT107</v>
      </c>
      <c r="F12" s="3" t="str">
        <f>VLOOKUP(A12,KetQuaHocTap!$A$1:$D$15,3,0)</f>
        <v>A</v>
      </c>
    </row>
    <row r="13" spans="1:6" ht="16.8">
      <c r="A13" s="3" t="s">
        <v>12</v>
      </c>
      <c r="B13" s="4" t="s">
        <v>38</v>
      </c>
      <c r="C13" s="3" t="s">
        <v>39</v>
      </c>
      <c r="D13" s="3" t="s">
        <v>52</v>
      </c>
      <c r="E13" s="3" t="str">
        <f>VLOOKUP(A13,KetQuaHocTap!$A$1:$D$15,2,0)</f>
        <v>CT178</v>
      </c>
      <c r="F13" s="3" t="str">
        <f>VLOOKUP(A13,KetQuaHocTap!$A$1:$D$15,3,0)</f>
        <v>A</v>
      </c>
    </row>
    <row r="14" spans="1:6" ht="16.8">
      <c r="A14" s="3" t="s">
        <v>13</v>
      </c>
      <c r="B14" s="4" t="s">
        <v>40</v>
      </c>
      <c r="C14" s="3" t="s">
        <v>41</v>
      </c>
      <c r="D14" s="3" t="s">
        <v>53</v>
      </c>
      <c r="E14" s="3" t="str">
        <f>VLOOKUP(A14,KetQuaHocTap!$A$1:$D$15,2,0)</f>
        <v>CT447</v>
      </c>
      <c r="F14" s="3" t="str">
        <f>VLOOKUP(A14,KetQuaHocTap!$A$1:$D$15,3,0)</f>
        <v>C</v>
      </c>
    </row>
    <row r="15" spans="1:6" ht="16.8">
      <c r="A15" s="3" t="s">
        <v>14</v>
      </c>
      <c r="B15" s="5" t="s">
        <v>24</v>
      </c>
      <c r="C15" s="6" t="s">
        <v>42</v>
      </c>
      <c r="D15" s="3" t="s">
        <v>53</v>
      </c>
      <c r="E15" s="3" t="str">
        <f>VLOOKUP(A15,KetQuaHocTap!$A$1:$D$15,2,0)</f>
        <v>CT107</v>
      </c>
      <c r="F15" s="3" t="str">
        <f>VLOOKUP(A15,KetQuaHocTap!$A$1:$D$15,3,0)</f>
        <v>D</v>
      </c>
    </row>
    <row r="17" spans="8:8">
      <c r="H1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B333-174F-4F95-8466-8509B1AA815A}">
  <dimension ref="A1:D15"/>
  <sheetViews>
    <sheetView workbookViewId="0">
      <selection activeCell="J20" sqref="J20"/>
    </sheetView>
  </sheetViews>
  <sheetFormatPr defaultRowHeight="14.4"/>
  <cols>
    <col min="1" max="1" width="17.33203125" customWidth="1"/>
    <col min="2" max="2" width="16.44140625" customWidth="1"/>
    <col min="3" max="3" width="17" customWidth="1"/>
    <col min="4" max="4" width="27.33203125" customWidth="1"/>
  </cols>
  <sheetData>
    <row r="1" spans="1:4" ht="20.399999999999999">
      <c r="A1" s="2" t="s">
        <v>54</v>
      </c>
      <c r="B1" s="2" t="s">
        <v>56</v>
      </c>
      <c r="C1" s="2" t="s">
        <v>55</v>
      </c>
      <c r="D1" s="10" t="s">
        <v>69</v>
      </c>
    </row>
    <row r="2" spans="1:4" ht="16.8">
      <c r="A2" s="4">
        <v>1111434</v>
      </c>
      <c r="B2" s="3" t="s">
        <v>57</v>
      </c>
      <c r="C2" s="3" t="s">
        <v>60</v>
      </c>
      <c r="D2" s="11" t="str">
        <f>VLOOKUP(A2,DanhSachSinhVien!$A$1:$D$15,2,0)&amp;"
"&amp;VLOOKUP(A2,DanhSachSinhVien!$A$1:$D$15,3,0)</f>
        <v>Lê Huỳnh 
Như</v>
      </c>
    </row>
    <row r="3" spans="1:4" ht="16.8">
      <c r="A3" s="4">
        <v>1111450</v>
      </c>
      <c r="B3" s="3" t="s">
        <v>58</v>
      </c>
      <c r="C3" s="3" t="s">
        <v>60</v>
      </c>
      <c r="D3" s="11" t="str">
        <f>VLOOKUP(A3,DanhSachSinhVien!$A$1:$D$15,2,0)&amp;"
"&amp;VLOOKUP(A3,DanhSachSinhVien!$A$1:$D$15,3,0)</f>
        <v xml:space="preserve">Sơn
Sony </v>
      </c>
    </row>
    <row r="4" spans="1:4" ht="16.8">
      <c r="A4" s="4" t="s">
        <v>43</v>
      </c>
      <c r="B4" s="3" t="s">
        <v>59</v>
      </c>
      <c r="C4" s="3" t="s">
        <v>61</v>
      </c>
      <c r="D4" s="11" t="str">
        <f>VLOOKUP(A4,DanhSachSinhVien!$A$1:$D$15,2,0)&amp;"
"&amp;VLOOKUP(A4,DanhSachSinhVien!$A$1:$D$15,3,0)</f>
        <v xml:space="preserve">Võ Đông
Triều </v>
      </c>
    </row>
    <row r="5" spans="1:4" ht="16.8">
      <c r="A5" s="4" t="s">
        <v>4</v>
      </c>
      <c r="B5" s="3" t="s">
        <v>57</v>
      </c>
      <c r="C5" s="3" t="s">
        <v>62</v>
      </c>
      <c r="D5" s="11" t="str">
        <f>VLOOKUP(A5,DanhSachSinhVien!$A$1:$D$15,2,0)&amp;"
"&amp;VLOOKUP(A5,DanhSachSinhVien!$A$1:$D$15,3,0)</f>
        <v xml:space="preserve">Lê Phong
Cảnh </v>
      </c>
    </row>
    <row r="6" spans="1:4" ht="16.8">
      <c r="A6" s="4" t="s">
        <v>5</v>
      </c>
      <c r="B6" s="3" t="s">
        <v>58</v>
      </c>
      <c r="C6" s="3" t="s">
        <v>63</v>
      </c>
      <c r="D6" s="11" t="str">
        <f>VLOOKUP(A6,DanhSachSinhVien!$A$1:$D$15,2,0)&amp;"
"&amp;VLOOKUP(A6,DanhSachSinhVien!$A$1:$D$15,3,0)</f>
        <v xml:space="preserve">Trần Tấn 
Quốc </v>
      </c>
    </row>
    <row r="7" spans="1:4" ht="16.8">
      <c r="A7" s="4" t="s">
        <v>6</v>
      </c>
      <c r="B7" s="3" t="s">
        <v>59</v>
      </c>
      <c r="C7" s="3" t="s">
        <v>60</v>
      </c>
      <c r="D7" s="11" t="str">
        <f>VLOOKUP(A7,DanhSachSinhVien!$A$1:$D$15,2,0)&amp;"
"&amp;VLOOKUP(A7,DanhSachSinhVien!$A$1:$D$15,3,0)</f>
        <v>Nguyễn Thanh
Phong</v>
      </c>
    </row>
    <row r="8" spans="1:4" ht="16.8">
      <c r="A8" s="4" t="s">
        <v>7</v>
      </c>
      <c r="B8" s="3" t="s">
        <v>57</v>
      </c>
      <c r="C8" s="3" t="s">
        <v>60</v>
      </c>
      <c r="D8" s="11" t="str">
        <f>VLOOKUP(A8,DanhSachSinhVien!$A$1:$D$15,2,0)&amp;"
"&amp;VLOOKUP(A8,DanhSachSinhVien!$A$1:$D$15,3,0)</f>
        <v xml:space="preserve">Nguyễn Thanh 
Thiện </v>
      </c>
    </row>
    <row r="9" spans="1:4" ht="16.8">
      <c r="A9" s="4" t="s">
        <v>8</v>
      </c>
      <c r="B9" s="3" t="s">
        <v>58</v>
      </c>
      <c r="C9" s="3" t="s">
        <v>61</v>
      </c>
      <c r="D9" s="11" t="str">
        <f>VLOOKUP(A9,DanhSachSinhVien!$A$1:$D$15,2,0)&amp;"
"&amp;VLOOKUP(A9,DanhSachSinhVien!$A$1:$D$15,3,0)</f>
        <v>Hồ Thị Huế 
Chi</v>
      </c>
    </row>
    <row r="10" spans="1:4" ht="16.8">
      <c r="A10" s="4" t="s">
        <v>9</v>
      </c>
      <c r="B10" s="3" t="s">
        <v>59</v>
      </c>
      <c r="C10" s="3" t="s">
        <v>62</v>
      </c>
      <c r="D10" s="11" t="str">
        <f>VLOOKUP(A10,DanhSachSinhVien!$A$1:$D$15,2,0)&amp;"
"&amp;VLOOKUP(A10,DanhSachSinhVien!$A$1:$D$15,3,0)</f>
        <v>Nguyễn Hoài 
Nam</v>
      </c>
    </row>
    <row r="11" spans="1:4" ht="16.8">
      <c r="A11" s="4" t="s">
        <v>10</v>
      </c>
      <c r="B11" s="3" t="s">
        <v>57</v>
      </c>
      <c r="C11" s="3" t="s">
        <v>63</v>
      </c>
      <c r="D11" s="11" t="str">
        <f>VLOOKUP(A11,DanhSachSinhVien!$A$1:$D$15,2,0)&amp;"
"&amp;VLOOKUP(A11,DanhSachSinhVien!$A$1:$D$15,3,0)</f>
        <v>Cao Tuấn 
Nguyên</v>
      </c>
    </row>
    <row r="12" spans="1:4" ht="16.8">
      <c r="A12" s="4" t="s">
        <v>11</v>
      </c>
      <c r="B12" s="3" t="s">
        <v>58</v>
      </c>
      <c r="C12" s="3" t="s">
        <v>60</v>
      </c>
      <c r="D12" s="11" t="str">
        <f>VLOOKUP(A12,DanhSachSinhVien!$A$1:$D$15,2,0)&amp;"
"&amp;VLOOKUP(A12,DanhSachSinhVien!$A$1:$D$15,3,0)</f>
        <v>Huỳnh Nhựt 
Thương</v>
      </c>
    </row>
    <row r="13" spans="1:4" ht="16.8">
      <c r="A13" s="4" t="s">
        <v>12</v>
      </c>
      <c r="B13" s="3" t="s">
        <v>59</v>
      </c>
      <c r="C13" s="3" t="s">
        <v>60</v>
      </c>
      <c r="D13" s="11" t="str">
        <f>VLOOKUP(A13,DanhSachSinhVien!$A$1:$D$15,2,0)&amp;"
"&amp;VLOOKUP(A13,DanhSachSinhVien!$A$1:$D$15,3,0)</f>
        <v>Nguyễn Phước
Toàn</v>
      </c>
    </row>
    <row r="14" spans="1:4" ht="16.8">
      <c r="A14" s="4" t="s">
        <v>13</v>
      </c>
      <c r="B14" s="3" t="s">
        <v>57</v>
      </c>
      <c r="C14" s="3" t="s">
        <v>61</v>
      </c>
      <c r="D14" s="11" t="str">
        <f>VLOOKUP(A14,DanhSachSinhVien!$A$1:$D$15,2,0)&amp;"
"&amp;VLOOKUP(A14,DanhSachSinhVien!$A$1:$D$15,3,0)</f>
        <v>Hồng Duy 
Hiệu</v>
      </c>
    </row>
    <row r="15" spans="1:4" ht="16.8">
      <c r="A15" s="4" t="s">
        <v>14</v>
      </c>
      <c r="B15" s="3" t="s">
        <v>58</v>
      </c>
      <c r="C15" s="3" t="s">
        <v>62</v>
      </c>
      <c r="D15" s="11" t="str">
        <f>VLOOKUP(A15,DanhSachSinhVien!$A$1:$D$15,2,0)&amp;"
"&amp;VLOOKUP(A15,DanhSachSinhVien!$A$1:$D$15,3,0)</f>
        <v>Kim 
Mel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32CB-211D-42B0-8E2D-0D9E842571AC}">
  <dimension ref="A1:C4"/>
  <sheetViews>
    <sheetView workbookViewId="0">
      <selection sqref="A1:C1"/>
    </sheetView>
  </sheetViews>
  <sheetFormatPr defaultRowHeight="14.4"/>
  <cols>
    <col min="1" max="1" width="10" bestFit="1" customWidth="1"/>
    <col min="2" max="2" width="10.6640625" bestFit="1" customWidth="1"/>
    <col min="3" max="3" width="9.6640625" bestFit="1" customWidth="1"/>
  </cols>
  <sheetData>
    <row r="1" spans="1:3" ht="21">
      <c r="A1" s="9" t="s">
        <v>56</v>
      </c>
      <c r="B1" s="9" t="s">
        <v>64</v>
      </c>
      <c r="C1" s="9" t="s">
        <v>65</v>
      </c>
    </row>
    <row r="2" spans="1:3" ht="16.8">
      <c r="A2" s="8" t="s">
        <v>57</v>
      </c>
      <c r="B2" s="8" t="s">
        <v>66</v>
      </c>
      <c r="C2" s="3">
        <v>3</v>
      </c>
    </row>
    <row r="3" spans="1:3" ht="16.8">
      <c r="A3" s="8" t="s">
        <v>58</v>
      </c>
      <c r="B3" s="8" t="s">
        <v>67</v>
      </c>
      <c r="C3" s="3">
        <v>3</v>
      </c>
    </row>
    <row r="4" spans="1:3" ht="16.8">
      <c r="A4" s="8" t="s">
        <v>59</v>
      </c>
      <c r="B4" s="8" t="s">
        <v>68</v>
      </c>
      <c r="C4" s="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9E88-0482-4CEA-A3D7-B9DAB0E64662}">
  <dimension ref="A1:D3"/>
  <sheetViews>
    <sheetView workbookViewId="0">
      <selection activeCell="D12" sqref="D12"/>
    </sheetView>
  </sheetViews>
  <sheetFormatPr defaultRowHeight="14.4"/>
  <cols>
    <col min="1" max="1" width="19.77734375" customWidth="1"/>
    <col min="2" max="2" width="20.88671875" customWidth="1"/>
    <col min="3" max="3" width="18.109375" customWidth="1"/>
    <col min="4" max="4" width="19.109375" customWidth="1"/>
  </cols>
  <sheetData>
    <row r="1" spans="1:4" ht="21">
      <c r="A1" s="7" t="s">
        <v>0</v>
      </c>
      <c r="B1" s="7" t="s">
        <v>1</v>
      </c>
      <c r="C1" s="7" t="s">
        <v>2</v>
      </c>
      <c r="D1" s="7" t="s">
        <v>3</v>
      </c>
    </row>
    <row r="2" spans="1:4" ht="16.8">
      <c r="A2" s="3" t="s">
        <v>6</v>
      </c>
      <c r="B2" s="4" t="s">
        <v>20</v>
      </c>
      <c r="C2" s="3" t="s">
        <v>30</v>
      </c>
      <c r="D2" s="3" t="s">
        <v>47</v>
      </c>
    </row>
    <row r="3" spans="1:4" ht="16.8">
      <c r="A3" s="3" t="s">
        <v>7</v>
      </c>
      <c r="B3" s="4" t="s">
        <v>33</v>
      </c>
      <c r="C3" s="3" t="s">
        <v>31</v>
      </c>
      <c r="D3" s="3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014-3446-4E39-9216-3550FCF2A1F4}">
  <dimension ref="A1:D5"/>
  <sheetViews>
    <sheetView workbookViewId="0">
      <selection activeCell="D11" sqref="D11"/>
    </sheetView>
  </sheetViews>
  <sheetFormatPr defaultRowHeight="14.4"/>
  <cols>
    <col min="1" max="1" width="22.44140625" customWidth="1"/>
    <col min="2" max="2" width="21.109375" customWidth="1"/>
    <col min="3" max="3" width="22" customWidth="1"/>
    <col min="4" max="4" width="32" customWidth="1"/>
    <col min="5" max="5" width="6.77734375" customWidth="1"/>
  </cols>
  <sheetData>
    <row r="1" spans="1:4" ht="20.399999999999999">
      <c r="A1" s="2" t="s">
        <v>54</v>
      </c>
      <c r="B1" s="2" t="s">
        <v>56</v>
      </c>
      <c r="C1" s="2" t="s">
        <v>55</v>
      </c>
      <c r="D1" s="10" t="s">
        <v>69</v>
      </c>
    </row>
    <row r="2" spans="1:4" ht="16.8">
      <c r="A2" s="4" t="s">
        <v>43</v>
      </c>
      <c r="B2" s="3" t="s">
        <v>59</v>
      </c>
      <c r="C2" s="3" t="s">
        <v>61</v>
      </c>
      <c r="D2" s="11" t="s">
        <v>70</v>
      </c>
    </row>
    <row r="3" spans="1:4" ht="16.8">
      <c r="A3" s="4" t="s">
        <v>6</v>
      </c>
      <c r="B3" s="3" t="s">
        <v>59</v>
      </c>
      <c r="C3" s="3" t="s">
        <v>60</v>
      </c>
      <c r="D3" s="11" t="s">
        <v>73</v>
      </c>
    </row>
    <row r="4" spans="1:4" ht="16.8">
      <c r="A4" s="4" t="s">
        <v>9</v>
      </c>
      <c r="B4" s="3" t="s">
        <v>59</v>
      </c>
      <c r="C4" s="3" t="s">
        <v>62</v>
      </c>
      <c r="D4" s="11" t="s">
        <v>71</v>
      </c>
    </row>
    <row r="5" spans="1:4" ht="16.8">
      <c r="A5" s="4" t="s">
        <v>12</v>
      </c>
      <c r="B5" s="3" t="s">
        <v>59</v>
      </c>
      <c r="C5" s="3" t="s">
        <v>60</v>
      </c>
      <c r="D5" s="12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FFEF-DA42-4BE9-8B3D-5388A12A89DF}">
  <dimension ref="A1:F2"/>
  <sheetViews>
    <sheetView tabSelected="1" workbookViewId="0">
      <selection activeCell="I21" sqref="I21"/>
    </sheetView>
  </sheetViews>
  <sheetFormatPr defaultRowHeight="14.4"/>
  <cols>
    <col min="1" max="1" width="15.21875" customWidth="1"/>
    <col min="2" max="2" width="16.21875" customWidth="1"/>
    <col min="3" max="3" width="14.21875" customWidth="1"/>
    <col min="4" max="4" width="12.77734375" customWidth="1"/>
    <col min="5" max="5" width="16.33203125" customWidth="1"/>
    <col min="6" max="6" width="20" customWidth="1"/>
  </cols>
  <sheetData>
    <row r="1" spans="1:6" ht="21">
      <c r="A1" s="7" t="s">
        <v>0</v>
      </c>
      <c r="B1" s="7" t="s">
        <v>1</v>
      </c>
      <c r="C1" s="7" t="s">
        <v>2</v>
      </c>
      <c r="D1" s="7" t="s">
        <v>3</v>
      </c>
      <c r="E1" s="13" t="s">
        <v>56</v>
      </c>
      <c r="F1" s="13" t="s">
        <v>55</v>
      </c>
    </row>
    <row r="2" spans="1:6" ht="16.8">
      <c r="A2" s="3" t="s">
        <v>43</v>
      </c>
      <c r="B2" s="4" t="s">
        <v>17</v>
      </c>
      <c r="C2" s="3" t="s">
        <v>27</v>
      </c>
      <c r="D2" s="3" t="s">
        <v>46</v>
      </c>
      <c r="E2" s="3" t="s">
        <v>59</v>
      </c>
      <c r="F2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DanhSachSinhVien</vt:lpstr>
      <vt:lpstr>KetQuaHocTap</vt:lpstr>
      <vt:lpstr>DanhMucMonHoc</vt:lpstr>
      <vt:lpstr>KQ_2a</vt:lpstr>
      <vt:lpstr>KQ_2b</vt:lpstr>
      <vt:lpstr>KQ_2c-d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Dinh Hoang Linh - B2604654</dc:creator>
  <cp:lastModifiedBy>Huynh Dinh Hoang Linh - B2604654</cp:lastModifiedBy>
  <dcterms:created xsi:type="dcterms:W3CDTF">2026-10-06T02:11:28Z</dcterms:created>
  <dcterms:modified xsi:type="dcterms:W3CDTF">2026-10-06T02:58:32Z</dcterms:modified>
</cp:coreProperties>
</file>